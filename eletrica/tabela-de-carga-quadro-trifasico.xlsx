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de Carga" sheetId="1" state="visible" r:id="rId3"/>
    <sheet name="Balanceamento" sheetId="2" state="visible" r:id="rId4"/>
    <sheet name="Materia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Tensão informada pelo usuário: 220 V trifásico.</t>
        </r>
      </text>
    </comment>
    <comment ref="G8" authorId="0">
      <text>
        <r>
          <rPr>
            <sz val="10"/>
            <rFont val="Arial"/>
            <family val="2"/>
          </rPr>
          <t xml:space="preserve">Potência informada pelo usuário (4600 W cada).</t>
        </r>
      </text>
    </comment>
    <comment ref="G11" authorId="0">
      <text>
        <r>
          <rPr>
            <sz val="10"/>
            <rFont val="Arial"/>
            <family val="2"/>
          </rPr>
          <t xml:space="preserve">Potência informada pelo usuário (1300 W cada).</t>
        </r>
      </text>
    </comment>
    <comment ref="G14" authorId="0">
      <text>
        <r>
          <rPr>
            <sz val="10"/>
            <rFont val="Arial"/>
            <family val="2"/>
          </rPr>
          <t xml:space="preserve">Potência informada pelo usuário (11 kW).</t>
        </r>
      </text>
    </comment>
    <comment ref="H8" authorId="0">
      <text>
        <r>
          <rPr>
            <sz val="10"/>
            <rFont val="Arial"/>
            <family val="2"/>
          </rPr>
          <t xml:space="preserve">Premissa: FP 1,0 (carga predominantemente resistiva de aquecimento). Conferir na placa.</t>
        </r>
      </text>
    </comment>
    <comment ref="H11" authorId="0">
      <text>
        <r>
          <rPr>
            <sz val="10"/>
            <rFont val="Arial"/>
            <family val="2"/>
          </rPr>
          <t xml:space="preserve">Premissa: FP 0,85 (carga de motor). Conferir na placa.</t>
        </r>
      </text>
    </comment>
    <comment ref="J15" authorId="0">
      <text>
        <r>
          <rPr>
            <sz val="10"/>
            <rFont val="Arial"/>
            <family val="2"/>
          </rPr>
          <t xml:space="preserve">Corrente de linha pela potência aparente total (soma aritmética de VA, a favor da segurança).</t>
        </r>
      </text>
    </comment>
    <comment ref="M15" authorId="0">
      <text>
        <r>
          <rPr>
            <sz val="10"/>
            <rFont val="Arial"/>
            <family val="2"/>
          </rPr>
          <t xml:space="preserve">Fases 35 mm²; neutro 25 mm²; PE 16 mm².</t>
        </r>
      </text>
    </comment>
    <comment ref="O8" authorId="0">
      <text>
        <r>
          <rPr>
            <sz val="10"/>
            <rFont val="Arial"/>
            <family val="2"/>
          </rPr>
          <t xml:space="preserve">Iz NBR 5410 Tab. 36, B1, 2 condutores carregados: 2,5mm²=24A; 4mm²=32A; 6mm²=41A. 3 condutores: 10mm²=50A; 25mm²=89A; 35mm²=111A. Sem fator de agrupamento.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Comprimentos de exemplo (10 m ramal / 15 m circuitos). Substitua pelos reais.</t>
        </r>
      </text>
    </comment>
  </commentList>
</comments>
</file>

<file path=xl/sharedStrings.xml><?xml version="1.0" encoding="utf-8"?>
<sst xmlns="http://schemas.openxmlformats.org/spreadsheetml/2006/main" count="129" uniqueCount="91">
  <si>
    <t xml:space="preserve">TABELA DE CARGA – QUADRO TRIFÁSICO LAVANDERIA (127/220 V – 3F+N+PE)</t>
  </si>
  <si>
    <t xml:space="preserve">Tensão fase-fase (V)</t>
  </si>
  <si>
    <t xml:space="preserve">Legenda: células AMARELAS com texto AZUL são entradas editáveis (potência, FP, disjuntor, cabo). Texto preto = fórmula.</t>
  </si>
  <si>
    <t xml:space="preserve">Tensão fase-neutro (V)</t>
  </si>
  <si>
    <t xml:space="preserve">Referência: ABNT NBR 5410 – cobre/PVC 70 °C, método B1, 30 °C. Iz conforme Tabela 36 da NBR 5410.</t>
  </si>
  <si>
    <t xml:space="preserve">Fator de demanda</t>
  </si>
  <si>
    <t xml:space="preserve">Fator de demanda 1,0: todas as máquinas podem operar simultaneamente (informado pelo uso de lavanderia).</t>
  </si>
  <si>
    <t xml:space="preserve">Circ.</t>
  </si>
  <si>
    <t xml:space="preserve">Equipamento</t>
  </si>
  <si>
    <t xml:space="preserve">Marca</t>
  </si>
  <si>
    <t xml:space="preserve">Ligação</t>
  </si>
  <si>
    <t xml:space="preserve">Fases</t>
  </si>
  <si>
    <t xml:space="preserve">Nº fases</t>
  </si>
  <si>
    <t xml:space="preserve">Potência (W)</t>
  </si>
  <si>
    <t xml:space="preserve">FP</t>
  </si>
  <si>
    <t xml:space="preserve">Potência (VA)</t>
  </si>
  <si>
    <t xml:space="preserve">Corrente Ib (A)</t>
  </si>
  <si>
    <t xml:space="preserve">Disjuntor In (A)</t>
  </si>
  <si>
    <t xml:space="preserve">Tipo disjuntor</t>
  </si>
  <si>
    <t xml:space="preserve">Cabo fase (mm²)</t>
  </si>
  <si>
    <t xml:space="preserve">Cabo PE (mm²)</t>
  </si>
  <si>
    <t xml:space="preserve">Iz do cabo (A)</t>
  </si>
  <si>
    <t xml:space="preserve">Ib ≤ In ≤ Iz?</t>
  </si>
  <si>
    <t xml:space="preserve">DR</t>
  </si>
  <si>
    <t xml:space="preserve">Ocupação disjuntor</t>
  </si>
  <si>
    <t xml:space="preserve">Secadora 1</t>
  </si>
  <si>
    <t xml:space="preserve">My Bubble</t>
  </si>
  <si>
    <t xml:space="preserve">Bifásica</t>
  </si>
  <si>
    <t xml:space="preserve">R-S</t>
  </si>
  <si>
    <t xml:space="preserve">Bipolar curva C</t>
  </si>
  <si>
    <t xml:space="preserve">Bipolar 25 A / 30 mA</t>
  </si>
  <si>
    <t xml:space="preserve">Secadora 2</t>
  </si>
  <si>
    <t xml:space="preserve">S-T</t>
  </si>
  <si>
    <t xml:space="preserve">Secadora 3</t>
  </si>
  <si>
    <t xml:space="preserve">T-R</t>
  </si>
  <si>
    <t xml:space="preserve">Lavadora 1</t>
  </si>
  <si>
    <t xml:space="preserve">Lavadora 2</t>
  </si>
  <si>
    <t xml:space="preserve">Lavadora 3</t>
  </si>
  <si>
    <t xml:space="preserve">Lavadora/Secadora</t>
  </si>
  <si>
    <t xml:space="preserve">Oasis</t>
  </si>
  <si>
    <t xml:space="preserve">Trifásica</t>
  </si>
  <si>
    <t xml:space="preserve">R-S-T</t>
  </si>
  <si>
    <t xml:space="preserve">Tripolar curva C</t>
  </si>
  <si>
    <t xml:space="preserve">Tetrapolar 40 A / 30 mA</t>
  </si>
  <si>
    <t xml:space="preserve">G</t>
  </si>
  <si>
    <t xml:space="preserve">DISJUNTOR GERAL</t>
  </si>
  <si>
    <t xml:space="preserve">—</t>
  </si>
  <si>
    <t xml:space="preserve">Tripolar curva C (10 kA)</t>
  </si>
  <si>
    <t xml:space="preserve">— (DR por circuito)</t>
  </si>
  <si>
    <t xml:space="preserve">OBSERVAÇÕES</t>
  </si>
  <si>
    <t xml:space="preserve">1. Geral de 80 A com 25 mm² também atende Ib ≤ In ≤ Iz, mas ficaria com ~96% de ocupação; por isso adotado 100 A / 35 mm².</t>
  </si>
  <si>
    <t xml:space="preserve">2. Se vários circuitos dividirem o mesmo eletroduto, aplicar fator de agrupamento (ex.: 3 circuitos = 0,70) e revisar Iz (secadoras → 6 mm²).</t>
  </si>
  <si>
    <t xml:space="preserve">3. Cabos dimensionados para até ~20 m do quadro à máquina (queda &lt; 4%). Distâncias maiores: recalcular.</t>
  </si>
  <si>
    <t xml:space="preserve">4. DR 30 mA obrigatório em lavanderia (NBR 5410). Recomenda-se DPS classe II 275 V / 20 kA (3 fases + neutro).</t>
  </si>
  <si>
    <t xml:space="preserve">5. Conferir manual do fabricante de cada máquina; prevalece o valor maior. Execução por profissional habilitado (NR-10 / ART).</t>
  </si>
  <si>
    <t xml:space="preserve">BALANCEAMENTO DE FASES</t>
  </si>
  <si>
    <t xml:space="preserve">Carga</t>
  </si>
  <si>
    <t xml:space="preserve">Fase R (VA)</t>
  </si>
  <si>
    <t xml:space="preserve">Fase S (VA)</t>
  </si>
  <si>
    <t xml:space="preserve">Fase T (VA)</t>
  </si>
  <si>
    <t xml:space="preserve">TOTAL POR FASE (VA)</t>
  </si>
  <si>
    <t xml:space="preserve">CORRENTE POR FASE (A)</t>
  </si>
  <si>
    <t xml:space="preserve">DESEQUILÍBRIO (%)</t>
  </si>
  <si>
    <t xml:space="preserve">Cada carga bifásica é dividida meio a meio entre suas duas fases; a trifásica, em três partes iguais. Corrente = VA da fase ÷ tensão fase-neutro.</t>
  </si>
  <si>
    <t xml:space="preserve">Texto verde = vínculo com a aba 'Tabela de Carga'. Para mudar uma carga de fase, altere a coluna 'Fases' naquela aba.</t>
  </si>
  <si>
    <t xml:space="preserve">LISTA DE MATERIAIS DO QUADRO</t>
  </si>
  <si>
    <t xml:space="preserve">Preencha em amarelo o comprimento (m) de cada trecho; os metros de cabo são calculados.</t>
  </si>
  <si>
    <t xml:space="preserve">Item</t>
  </si>
  <si>
    <t xml:space="preserve">Descrição</t>
  </si>
  <si>
    <t xml:space="preserve">Qtd.</t>
  </si>
  <si>
    <t xml:space="preserve">Unid.</t>
  </si>
  <si>
    <t xml:space="preserve">Comprimento trecho (m)</t>
  </si>
  <si>
    <t xml:space="preserve">Condutores por trecho</t>
  </si>
  <si>
    <t xml:space="preserve">Total</t>
  </si>
  <si>
    <t xml:space="preserve">Disjuntor tripolar 100 A curva C – 10 kA (geral)</t>
  </si>
  <si>
    <t xml:space="preserve">pç</t>
  </si>
  <si>
    <t xml:space="preserve">Disjuntor bipolar 25 A curva C (secadoras)</t>
  </si>
  <si>
    <t xml:space="preserve">Disjuntor bipolar 10 A curva C (lavadoras)</t>
  </si>
  <si>
    <t xml:space="preserve">Disjuntor tripolar 40 A curva C (Oasis)</t>
  </si>
  <si>
    <t xml:space="preserve">DR bipolar 25 A / 30 mA (máquinas My Bubble)</t>
  </si>
  <si>
    <t xml:space="preserve">DR tetrapolar 40 A / 30 mA (Oasis)</t>
  </si>
  <si>
    <t xml:space="preserve">DPS classe II 275 V / 20 kA</t>
  </si>
  <si>
    <t xml:space="preserve">Barramento trifásico 100 A + barras N e PE</t>
  </si>
  <si>
    <t xml:space="preserve">cj</t>
  </si>
  <si>
    <t xml:space="preserve">Cabo 35 mm² – fases do ramal geral</t>
  </si>
  <si>
    <t xml:space="preserve">m</t>
  </si>
  <si>
    <t xml:space="preserve">Cabo 25 mm² azul – neutro do ramal geral</t>
  </si>
  <si>
    <t xml:space="preserve">Cabo 16 mm² verde – PE do ramal geral</t>
  </si>
  <si>
    <t xml:space="preserve">Cabo 10 mm² – Oasis (3F + PE)</t>
  </si>
  <si>
    <t xml:space="preserve">Cabo 4 mm² – secadoras (2F + PE)</t>
  </si>
  <si>
    <t xml:space="preserve">Cabo 2,5 mm² – lavadoras (2F + PE)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</si>
</sst>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#,##0"/>
    <numFmt numFmtId="167" formatCode="0.00"/>
    <numFmt numFmtId="168" formatCode="0%"/>
    <numFmt numFmtId="169" formatCode="General"/>
    <numFmt numFmtId="170" formatCode="#,##0;\-#,##0;\-"/>
    <numFmt numFmtId="171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7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2" min="12" style="0" width="22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6" min="16" style="0" width="13"/>
    <col collapsed="false" customWidth="true" hidden="false" outlineLevel="0" max="17" min="17" style="0" width="24"/>
    <col collapsed="false" customWidth="true" hidden="false" outlineLevel="0" max="18" min="18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customFormat="false" ht="15" hidden="false" customHeight="false" outlineLevel="0" collapsed="false">
      <c r="A3" s="2" t="s">
        <v>1</v>
      </c>
      <c r="C3" s="3" t="n">
        <v>220</v>
      </c>
      <c r="E3" s="4" t="s">
        <v>2</v>
      </c>
    </row>
    <row r="4" customFormat="false" ht="15" hidden="false" customHeight="false" outlineLevel="0" collapsed="false">
      <c r="A4" s="2" t="s">
        <v>3</v>
      </c>
      <c r="C4" s="5" t="n">
        <f aca="false">C3/SQRT(3)</f>
        <v>127.017059221718</v>
      </c>
      <c r="E4" s="4" t="s">
        <v>4</v>
      </c>
    </row>
    <row r="5" customFormat="false" ht="15" hidden="false" customHeight="false" outlineLevel="0" collapsed="false">
      <c r="A5" s="2" t="s">
        <v>5</v>
      </c>
      <c r="C5" s="3" t="n">
        <v>1</v>
      </c>
      <c r="E5" s="4" t="s">
        <v>6</v>
      </c>
    </row>
    <row r="7" customFormat="false" ht="31.5" hidden="false" customHeight="true" outlineLevel="0" collapsed="false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6" t="s">
        <v>24</v>
      </c>
    </row>
    <row r="8" customFormat="false" ht="15" hidden="false" customHeight="false" outlineLevel="0" collapsed="false">
      <c r="A8" s="7" t="n">
        <v>1</v>
      </c>
      <c r="B8" s="7" t="s">
        <v>25</v>
      </c>
      <c r="C8" s="7" t="s">
        <v>26</v>
      </c>
      <c r="D8" s="7" t="s">
        <v>27</v>
      </c>
      <c r="E8" s="7" t="s">
        <v>28</v>
      </c>
      <c r="F8" s="7" t="n">
        <v>2</v>
      </c>
      <c r="G8" s="8" t="n">
        <v>4600</v>
      </c>
      <c r="H8" s="9" t="n">
        <v>1</v>
      </c>
      <c r="I8" s="10" t="n">
        <f aca="false">G8/H8</f>
        <v>4600</v>
      </c>
      <c r="J8" s="11" t="n">
        <f aca="false">IF(F8=3,I8/(SQRT(3)*$C$3),I8/$C$3)</f>
        <v>20.9090909090909</v>
      </c>
      <c r="K8" s="12" t="n">
        <v>25</v>
      </c>
      <c r="L8" s="7" t="s">
        <v>29</v>
      </c>
      <c r="M8" s="13" t="n">
        <v>4</v>
      </c>
      <c r="N8" s="13" t="n">
        <v>4</v>
      </c>
      <c r="O8" s="12" t="n">
        <v>32</v>
      </c>
      <c r="P8" s="7" t="str">
        <f aca="false">IF(AND(J8&lt;=K8,K8&lt;=O8),"OK","REVISAR")</f>
        <v>OK</v>
      </c>
      <c r="Q8" s="7" t="s">
        <v>30</v>
      </c>
      <c r="R8" s="14" t="n">
        <f aca="false">J8/K8</f>
        <v>0.836363636363636</v>
      </c>
    </row>
    <row r="9" customFormat="false" ht="15" hidden="false" customHeight="false" outlineLevel="0" collapsed="false">
      <c r="A9" s="7" t="n">
        <v>2</v>
      </c>
      <c r="B9" s="7" t="s">
        <v>31</v>
      </c>
      <c r="C9" s="7" t="s">
        <v>26</v>
      </c>
      <c r="D9" s="7" t="s">
        <v>27</v>
      </c>
      <c r="E9" s="7" t="s">
        <v>32</v>
      </c>
      <c r="F9" s="7" t="n">
        <v>2</v>
      </c>
      <c r="G9" s="8" t="n">
        <v>4600</v>
      </c>
      <c r="H9" s="9" t="n">
        <v>1</v>
      </c>
      <c r="I9" s="10" t="n">
        <f aca="false">G9/H9</f>
        <v>4600</v>
      </c>
      <c r="J9" s="11" t="n">
        <f aca="false">IF(F9=3,I9/(SQRT(3)*$C$3),I9/$C$3)</f>
        <v>20.9090909090909</v>
      </c>
      <c r="K9" s="12" t="n">
        <v>25</v>
      </c>
      <c r="L9" s="7" t="s">
        <v>29</v>
      </c>
      <c r="M9" s="13" t="n">
        <v>4</v>
      </c>
      <c r="N9" s="13" t="n">
        <v>4</v>
      </c>
      <c r="O9" s="12" t="n">
        <v>32</v>
      </c>
      <c r="P9" s="7" t="str">
        <f aca="false">IF(AND(J9&lt;=K9,K9&lt;=O9),"OK","REVISAR")</f>
        <v>OK</v>
      </c>
      <c r="Q9" s="7" t="s">
        <v>30</v>
      </c>
      <c r="R9" s="14" t="n">
        <f aca="false">J9/K9</f>
        <v>0.836363636363636</v>
      </c>
    </row>
    <row r="10" customFormat="false" ht="15" hidden="false" customHeight="false" outlineLevel="0" collapsed="false">
      <c r="A10" s="7" t="n">
        <v>3</v>
      </c>
      <c r="B10" s="7" t="s">
        <v>33</v>
      </c>
      <c r="C10" s="7" t="s">
        <v>26</v>
      </c>
      <c r="D10" s="7" t="s">
        <v>27</v>
      </c>
      <c r="E10" s="7" t="s">
        <v>34</v>
      </c>
      <c r="F10" s="7" t="n">
        <v>2</v>
      </c>
      <c r="G10" s="8" t="n">
        <v>4600</v>
      </c>
      <c r="H10" s="9" t="n">
        <v>1</v>
      </c>
      <c r="I10" s="10" t="n">
        <f aca="false">G10/H10</f>
        <v>4600</v>
      </c>
      <c r="J10" s="11" t="n">
        <f aca="false">IF(F10=3,I10/(SQRT(3)*$C$3),I10/$C$3)</f>
        <v>20.9090909090909</v>
      </c>
      <c r="K10" s="12" t="n">
        <v>25</v>
      </c>
      <c r="L10" s="7" t="s">
        <v>29</v>
      </c>
      <c r="M10" s="13" t="n">
        <v>4</v>
      </c>
      <c r="N10" s="13" t="n">
        <v>4</v>
      </c>
      <c r="O10" s="12" t="n">
        <v>32</v>
      </c>
      <c r="P10" s="7" t="str">
        <f aca="false">IF(AND(J10&lt;=K10,K10&lt;=O10),"OK","REVISAR")</f>
        <v>OK</v>
      </c>
      <c r="Q10" s="7" t="s">
        <v>30</v>
      </c>
      <c r="R10" s="14" t="n">
        <f aca="false">J10/K10</f>
        <v>0.836363636363636</v>
      </c>
    </row>
    <row r="11" customFormat="false" ht="15" hidden="false" customHeight="false" outlineLevel="0" collapsed="false">
      <c r="A11" s="7" t="n">
        <v>4</v>
      </c>
      <c r="B11" s="7" t="s">
        <v>35</v>
      </c>
      <c r="C11" s="7" t="s">
        <v>26</v>
      </c>
      <c r="D11" s="7" t="s">
        <v>27</v>
      </c>
      <c r="E11" s="7" t="s">
        <v>28</v>
      </c>
      <c r="F11" s="7" t="n">
        <v>2</v>
      </c>
      <c r="G11" s="8" t="n">
        <v>1300</v>
      </c>
      <c r="H11" s="9" t="n">
        <v>0.85</v>
      </c>
      <c r="I11" s="10" t="n">
        <f aca="false">G11/H11</f>
        <v>1529.41176470588</v>
      </c>
      <c r="J11" s="11" t="n">
        <f aca="false">IF(F11=3,I11/(SQRT(3)*$C$3),I11/$C$3)</f>
        <v>6.95187165775401</v>
      </c>
      <c r="K11" s="12" t="n">
        <v>10</v>
      </c>
      <c r="L11" s="7" t="s">
        <v>29</v>
      </c>
      <c r="M11" s="13" t="n">
        <v>2.5</v>
      </c>
      <c r="N11" s="13" t="n">
        <v>2.5</v>
      </c>
      <c r="O11" s="12" t="n">
        <v>24</v>
      </c>
      <c r="P11" s="7" t="str">
        <f aca="false">IF(AND(J11&lt;=K11,K11&lt;=O11),"OK","REVISAR")</f>
        <v>OK</v>
      </c>
      <c r="Q11" s="7" t="s">
        <v>30</v>
      </c>
      <c r="R11" s="14" t="n">
        <f aca="false">J11/K11</f>
        <v>0.695187165775401</v>
      </c>
    </row>
    <row r="12" customFormat="false" ht="15" hidden="false" customHeight="false" outlineLevel="0" collapsed="false">
      <c r="A12" s="7" t="n">
        <v>5</v>
      </c>
      <c r="B12" s="7" t="s">
        <v>36</v>
      </c>
      <c r="C12" s="7" t="s">
        <v>26</v>
      </c>
      <c r="D12" s="7" t="s">
        <v>27</v>
      </c>
      <c r="E12" s="7" t="s">
        <v>32</v>
      </c>
      <c r="F12" s="7" t="n">
        <v>2</v>
      </c>
      <c r="G12" s="8" t="n">
        <v>1300</v>
      </c>
      <c r="H12" s="9" t="n">
        <v>0.85</v>
      </c>
      <c r="I12" s="10" t="n">
        <f aca="false">G12/H12</f>
        <v>1529.41176470588</v>
      </c>
      <c r="J12" s="11" t="n">
        <f aca="false">IF(F12=3,I12/(SQRT(3)*$C$3),I12/$C$3)</f>
        <v>6.95187165775401</v>
      </c>
      <c r="K12" s="12" t="n">
        <v>10</v>
      </c>
      <c r="L12" s="7" t="s">
        <v>29</v>
      </c>
      <c r="M12" s="13" t="n">
        <v>2.5</v>
      </c>
      <c r="N12" s="13" t="n">
        <v>2.5</v>
      </c>
      <c r="O12" s="12" t="n">
        <v>24</v>
      </c>
      <c r="P12" s="7" t="str">
        <f aca="false">IF(AND(J12&lt;=K12,K12&lt;=O12),"OK","REVISAR")</f>
        <v>OK</v>
      </c>
      <c r="Q12" s="7" t="s">
        <v>30</v>
      </c>
      <c r="R12" s="14" t="n">
        <f aca="false">J12/K12</f>
        <v>0.695187165775401</v>
      </c>
    </row>
    <row r="13" customFormat="false" ht="15" hidden="false" customHeight="false" outlineLevel="0" collapsed="false">
      <c r="A13" s="7" t="n">
        <v>6</v>
      </c>
      <c r="B13" s="7" t="s">
        <v>37</v>
      </c>
      <c r="C13" s="7" t="s">
        <v>26</v>
      </c>
      <c r="D13" s="7" t="s">
        <v>27</v>
      </c>
      <c r="E13" s="7" t="s">
        <v>34</v>
      </c>
      <c r="F13" s="7" t="n">
        <v>2</v>
      </c>
      <c r="G13" s="8" t="n">
        <v>1300</v>
      </c>
      <c r="H13" s="9" t="n">
        <v>0.85</v>
      </c>
      <c r="I13" s="10" t="n">
        <f aca="false">G13/H13</f>
        <v>1529.41176470588</v>
      </c>
      <c r="J13" s="11" t="n">
        <f aca="false">IF(F13=3,I13/(SQRT(3)*$C$3),I13/$C$3)</f>
        <v>6.95187165775401</v>
      </c>
      <c r="K13" s="12" t="n">
        <v>10</v>
      </c>
      <c r="L13" s="7" t="s">
        <v>29</v>
      </c>
      <c r="M13" s="13" t="n">
        <v>2.5</v>
      </c>
      <c r="N13" s="13" t="n">
        <v>2.5</v>
      </c>
      <c r="O13" s="12" t="n">
        <v>24</v>
      </c>
      <c r="P13" s="7" t="str">
        <f aca="false">IF(AND(J13&lt;=K13,K13&lt;=O13),"OK","REVISAR")</f>
        <v>OK</v>
      </c>
      <c r="Q13" s="7" t="s">
        <v>30</v>
      </c>
      <c r="R13" s="14" t="n">
        <f aca="false">J13/K13</f>
        <v>0.695187165775401</v>
      </c>
    </row>
    <row r="14" customFormat="false" ht="15" hidden="false" customHeight="false" outlineLevel="0" collapsed="false">
      <c r="A14" s="7" t="n">
        <v>7</v>
      </c>
      <c r="B14" s="7" t="s">
        <v>38</v>
      </c>
      <c r="C14" s="7" t="s">
        <v>39</v>
      </c>
      <c r="D14" s="7" t="s">
        <v>40</v>
      </c>
      <c r="E14" s="7" t="s">
        <v>41</v>
      </c>
      <c r="F14" s="7" t="n">
        <v>3</v>
      </c>
      <c r="G14" s="8" t="n">
        <v>11000</v>
      </c>
      <c r="H14" s="9" t="n">
        <v>1</v>
      </c>
      <c r="I14" s="10" t="n">
        <f aca="false">G14/H14</f>
        <v>11000</v>
      </c>
      <c r="J14" s="11" t="n">
        <f aca="false">IF(F14=3,I14/(SQRT(3)*$C$3),I14/$C$3)</f>
        <v>28.8675134594813</v>
      </c>
      <c r="K14" s="12" t="n">
        <v>40</v>
      </c>
      <c r="L14" s="7" t="s">
        <v>42</v>
      </c>
      <c r="M14" s="13" t="n">
        <v>10</v>
      </c>
      <c r="N14" s="13" t="n">
        <v>10</v>
      </c>
      <c r="O14" s="12" t="n">
        <v>50</v>
      </c>
      <c r="P14" s="7" t="str">
        <f aca="false">IF(AND(J14&lt;=K14,K14&lt;=O14),"OK","REVISAR")</f>
        <v>OK</v>
      </c>
      <c r="Q14" s="7" t="s">
        <v>43</v>
      </c>
      <c r="R14" s="14" t="n">
        <f aca="false">J14/K14</f>
        <v>0.721687836487032</v>
      </c>
    </row>
    <row r="15" customFormat="false" ht="26.85" hidden="false" customHeight="false" outlineLevel="0" collapsed="false">
      <c r="A15" s="15" t="s">
        <v>44</v>
      </c>
      <c r="B15" s="15" t="s">
        <v>45</v>
      </c>
      <c r="C15" s="15" t="s">
        <v>46</v>
      </c>
      <c r="D15" s="15" t="s">
        <v>40</v>
      </c>
      <c r="E15" s="15" t="s">
        <v>41</v>
      </c>
      <c r="F15" s="15" t="n">
        <v>3</v>
      </c>
      <c r="G15" s="16" t="n">
        <f aca="false">SUM(G8:G14)*$C$5</f>
        <v>28700</v>
      </c>
      <c r="H15" s="17" t="n">
        <f aca="false">G15/I15</f>
        <v>0.97658126501201</v>
      </c>
      <c r="I15" s="16" t="n">
        <f aca="false">SUM(I8:I14)*$C$5</f>
        <v>29388.2352941176</v>
      </c>
      <c r="J15" s="18" t="n">
        <f aca="false">I15/(SQRT(3)*$C$3)</f>
        <v>77.1241161730313</v>
      </c>
      <c r="K15" s="19" t="n">
        <v>100</v>
      </c>
      <c r="L15" s="15" t="s">
        <v>47</v>
      </c>
      <c r="M15" s="20" t="n">
        <v>35</v>
      </c>
      <c r="N15" s="20" t="n">
        <v>16</v>
      </c>
      <c r="O15" s="19" t="n">
        <v>111</v>
      </c>
      <c r="P15" s="15" t="str">
        <f aca="false">IF(AND(J15&lt;=K15,K15&lt;=O15),"OK","REVISAR")</f>
        <v>OK</v>
      </c>
      <c r="Q15" s="15" t="s">
        <v>48</v>
      </c>
      <c r="R15" s="21" t="n">
        <f aca="false">J15/K15</f>
        <v>0.771241161730313</v>
      </c>
    </row>
    <row r="17" customFormat="false" ht="15" hidden="false" customHeight="false" outlineLevel="0" collapsed="false">
      <c r="A17" s="2" t="s">
        <v>49</v>
      </c>
    </row>
    <row r="18" customFormat="false" ht="15" hidden="false" customHeight="false" outlineLevel="0" collapsed="false">
      <c r="A18" s="22" t="s">
        <v>50</v>
      </c>
    </row>
    <row r="19" customFormat="false" ht="15" hidden="false" customHeight="false" outlineLevel="0" collapsed="false">
      <c r="A19" s="22" t="s">
        <v>51</v>
      </c>
    </row>
    <row r="20" customFormat="false" ht="15" hidden="false" customHeight="false" outlineLevel="0" collapsed="false">
      <c r="A20" s="22" t="s">
        <v>52</v>
      </c>
    </row>
    <row r="21" customFormat="false" ht="15" hidden="false" customHeight="false" outlineLevel="0" collapsed="false">
      <c r="A21" s="22" t="s">
        <v>53</v>
      </c>
    </row>
    <row r="22" customFormat="false" ht="15" hidden="false" customHeight="false" outlineLevel="0" collapsed="false">
      <c r="A22" s="22" t="s">
        <v>54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6" min="4" style="0" width="14"/>
  </cols>
  <sheetData>
    <row r="1" customFormat="false" ht="17.35" hidden="false" customHeight="false" outlineLevel="0" collapsed="false">
      <c r="A1" s="23" t="s">
        <v>55</v>
      </c>
    </row>
    <row r="3" customFormat="false" ht="15" hidden="false" customHeight="false" outlineLevel="0" collapsed="false">
      <c r="A3" s="6" t="s">
        <v>7</v>
      </c>
      <c r="B3" s="6" t="s">
        <v>56</v>
      </c>
      <c r="C3" s="6" t="s">
        <v>11</v>
      </c>
      <c r="D3" s="6" t="s">
        <v>57</v>
      </c>
      <c r="E3" s="6" t="s">
        <v>58</v>
      </c>
      <c r="F3" s="6" t="s">
        <v>59</v>
      </c>
    </row>
    <row r="4" customFormat="false" ht="15" hidden="false" customHeight="false" outlineLevel="0" collapsed="false">
      <c r="A4" s="24" t="n">
        <f aca="false">'Tabela de Carga'!A8</f>
        <v>1</v>
      </c>
      <c r="B4" s="24" t="str">
        <f aca="false">'Tabela de Carga'!B8&amp;" "&amp;'Tabela de Carga'!C8</f>
        <v>Secadora 1 My Bubble</v>
      </c>
      <c r="C4" s="24" t="str">
        <f aca="false">'Tabela de Carga'!E8</f>
        <v>R-S</v>
      </c>
      <c r="D4" s="25" t="n">
        <f aca="false">IF(ISNUMBER(SEARCH("R",'Tabela de Carga'!E8)),'Tabela de Carga'!I8/'Tabela de Carga'!F8,0)</f>
        <v>2300</v>
      </c>
      <c r="E4" s="25" t="n">
        <f aca="false">IF(ISNUMBER(SEARCH("S",'Tabela de Carga'!E8)),'Tabela de Carga'!I8/'Tabela de Carga'!F8,0)</f>
        <v>2300</v>
      </c>
      <c r="F4" s="25" t="n">
        <f aca="false">IF(ISNUMBER(SEARCH("T",'Tabela de Carga'!E8)),'Tabela de Carga'!I8/'Tabela de Carga'!F8,0)</f>
        <v>0</v>
      </c>
    </row>
    <row r="5" customFormat="false" ht="15" hidden="false" customHeight="false" outlineLevel="0" collapsed="false">
      <c r="A5" s="24" t="n">
        <f aca="false">'Tabela de Carga'!A9</f>
        <v>2</v>
      </c>
      <c r="B5" s="24" t="str">
        <f aca="false">'Tabela de Carga'!B9&amp;" "&amp;'Tabela de Carga'!C9</f>
        <v>Secadora 2 My Bubble</v>
      </c>
      <c r="C5" s="24" t="str">
        <f aca="false">'Tabela de Carga'!E9</f>
        <v>S-T</v>
      </c>
      <c r="D5" s="25" t="n">
        <f aca="false">IF(ISNUMBER(SEARCH("R",'Tabela de Carga'!E9)),'Tabela de Carga'!I9/'Tabela de Carga'!F9,0)</f>
        <v>0</v>
      </c>
      <c r="E5" s="25" t="n">
        <f aca="false">IF(ISNUMBER(SEARCH("S",'Tabela de Carga'!E9)),'Tabela de Carga'!I9/'Tabela de Carga'!F9,0)</f>
        <v>2300</v>
      </c>
      <c r="F5" s="25" t="n">
        <f aca="false">IF(ISNUMBER(SEARCH("T",'Tabela de Carga'!E9)),'Tabela de Carga'!I9/'Tabela de Carga'!F9,0)</f>
        <v>2300</v>
      </c>
    </row>
    <row r="6" customFormat="false" ht="15" hidden="false" customHeight="false" outlineLevel="0" collapsed="false">
      <c r="A6" s="24" t="n">
        <f aca="false">'Tabela de Carga'!A10</f>
        <v>3</v>
      </c>
      <c r="B6" s="24" t="str">
        <f aca="false">'Tabela de Carga'!B10&amp;" "&amp;'Tabela de Carga'!C10</f>
        <v>Secadora 3 My Bubble</v>
      </c>
      <c r="C6" s="24" t="str">
        <f aca="false">'Tabela de Carga'!E10</f>
        <v>T-R</v>
      </c>
      <c r="D6" s="25" t="n">
        <f aca="false">IF(ISNUMBER(SEARCH("R",'Tabela de Carga'!E10)),'Tabela de Carga'!I10/'Tabela de Carga'!F10,0)</f>
        <v>2300</v>
      </c>
      <c r="E6" s="25" t="n">
        <f aca="false">IF(ISNUMBER(SEARCH("S",'Tabela de Carga'!E10)),'Tabela de Carga'!I10/'Tabela de Carga'!F10,0)</f>
        <v>0</v>
      </c>
      <c r="F6" s="25" t="n">
        <f aca="false">IF(ISNUMBER(SEARCH("T",'Tabela de Carga'!E10)),'Tabela de Carga'!I10/'Tabela de Carga'!F10,0)</f>
        <v>2300</v>
      </c>
    </row>
    <row r="7" customFormat="false" ht="15" hidden="false" customHeight="false" outlineLevel="0" collapsed="false">
      <c r="A7" s="24" t="n">
        <f aca="false">'Tabela de Carga'!A11</f>
        <v>4</v>
      </c>
      <c r="B7" s="24" t="str">
        <f aca="false">'Tabela de Carga'!B11&amp;" "&amp;'Tabela de Carga'!C11</f>
        <v>Lavadora 1 My Bubble</v>
      </c>
      <c r="C7" s="24" t="str">
        <f aca="false">'Tabela de Carga'!E11</f>
        <v>R-S</v>
      </c>
      <c r="D7" s="25" t="n">
        <f aca="false">IF(ISNUMBER(SEARCH("R",'Tabela de Carga'!E11)),'Tabela de Carga'!I11/'Tabela de Carga'!F11,0)</f>
        <v>764.705882352941</v>
      </c>
      <c r="E7" s="25" t="n">
        <f aca="false">IF(ISNUMBER(SEARCH("S",'Tabela de Carga'!E11)),'Tabela de Carga'!I11/'Tabela de Carga'!F11,0)</f>
        <v>764.705882352941</v>
      </c>
      <c r="F7" s="25" t="n">
        <f aca="false">IF(ISNUMBER(SEARCH("T",'Tabela de Carga'!E11)),'Tabela de Carga'!I11/'Tabela de Carga'!F11,0)</f>
        <v>0</v>
      </c>
    </row>
    <row r="8" customFormat="false" ht="15" hidden="false" customHeight="false" outlineLevel="0" collapsed="false">
      <c r="A8" s="24" t="n">
        <f aca="false">'Tabela de Carga'!A12</f>
        <v>5</v>
      </c>
      <c r="B8" s="24" t="str">
        <f aca="false">'Tabela de Carga'!B12&amp;" "&amp;'Tabela de Carga'!C12</f>
        <v>Lavadora 2 My Bubble</v>
      </c>
      <c r="C8" s="24" t="str">
        <f aca="false">'Tabela de Carga'!E12</f>
        <v>S-T</v>
      </c>
      <c r="D8" s="25" t="n">
        <f aca="false">IF(ISNUMBER(SEARCH("R",'Tabela de Carga'!E12)),'Tabela de Carga'!I12/'Tabela de Carga'!F12,0)</f>
        <v>0</v>
      </c>
      <c r="E8" s="25" t="n">
        <f aca="false">IF(ISNUMBER(SEARCH("S",'Tabela de Carga'!E12)),'Tabela de Carga'!I12/'Tabela de Carga'!F12,0)</f>
        <v>764.705882352941</v>
      </c>
      <c r="F8" s="25" t="n">
        <f aca="false">IF(ISNUMBER(SEARCH("T",'Tabela de Carga'!E12)),'Tabela de Carga'!I12/'Tabela de Carga'!F12,0)</f>
        <v>764.705882352941</v>
      </c>
    </row>
    <row r="9" customFormat="false" ht="15" hidden="false" customHeight="false" outlineLevel="0" collapsed="false">
      <c r="A9" s="24" t="n">
        <f aca="false">'Tabela de Carga'!A13</f>
        <v>6</v>
      </c>
      <c r="B9" s="24" t="str">
        <f aca="false">'Tabela de Carga'!B13&amp;" "&amp;'Tabela de Carga'!C13</f>
        <v>Lavadora 3 My Bubble</v>
      </c>
      <c r="C9" s="24" t="str">
        <f aca="false">'Tabela de Carga'!E13</f>
        <v>T-R</v>
      </c>
      <c r="D9" s="25" t="n">
        <f aca="false">IF(ISNUMBER(SEARCH("R",'Tabela de Carga'!E13)),'Tabela de Carga'!I13/'Tabela de Carga'!F13,0)</f>
        <v>764.705882352941</v>
      </c>
      <c r="E9" s="25" t="n">
        <f aca="false">IF(ISNUMBER(SEARCH("S",'Tabela de Carga'!E13)),'Tabela de Carga'!I13/'Tabela de Carga'!F13,0)</f>
        <v>0</v>
      </c>
      <c r="F9" s="25" t="n">
        <f aca="false">IF(ISNUMBER(SEARCH("T",'Tabela de Carga'!E13)),'Tabela de Carga'!I13/'Tabela de Carga'!F13,0)</f>
        <v>764.705882352941</v>
      </c>
    </row>
    <row r="10" customFormat="false" ht="15" hidden="false" customHeight="false" outlineLevel="0" collapsed="false">
      <c r="A10" s="24" t="n">
        <f aca="false">'Tabela de Carga'!A14</f>
        <v>7</v>
      </c>
      <c r="B10" s="24" t="str">
        <f aca="false">'Tabela de Carga'!B14&amp;" "&amp;'Tabela de Carga'!C14</f>
        <v>Lavadora/Secadora Oasis</v>
      </c>
      <c r="C10" s="24" t="str">
        <f aca="false">'Tabela de Carga'!E14</f>
        <v>R-S-T</v>
      </c>
      <c r="D10" s="25" t="n">
        <f aca="false">IF(ISNUMBER(SEARCH("R",'Tabela de Carga'!E14)),'Tabela de Carga'!I14/'Tabela de Carga'!F14,0)</f>
        <v>3666.66666666667</v>
      </c>
      <c r="E10" s="25" t="n">
        <f aca="false">IF(ISNUMBER(SEARCH("S",'Tabela de Carga'!E14)),'Tabela de Carga'!I14/'Tabela de Carga'!F14,0)</f>
        <v>3666.66666666667</v>
      </c>
      <c r="F10" s="25" t="n">
        <f aca="false">IF(ISNUMBER(SEARCH("T",'Tabela de Carga'!E14)),'Tabela de Carga'!I14/'Tabela de Carga'!F14,0)</f>
        <v>3666.66666666667</v>
      </c>
    </row>
    <row r="11" customFormat="false" ht="15" hidden="false" customHeight="true" outlineLevel="0" collapsed="false">
      <c r="A11" s="15"/>
      <c r="B11" s="15" t="s">
        <v>60</v>
      </c>
      <c r="C11" s="15"/>
      <c r="D11" s="16" t="n">
        <f aca="false">SUM(D4:D10)</f>
        <v>9796.07843137255</v>
      </c>
      <c r="E11" s="16" t="n">
        <f aca="false">SUM(E4:E10)</f>
        <v>9796.07843137255</v>
      </c>
      <c r="F11" s="16" t="n">
        <f aca="false">SUM(F4:F10)</f>
        <v>9796.07843137255</v>
      </c>
    </row>
    <row r="12" customFormat="false" ht="15" hidden="false" customHeight="true" outlineLevel="0" collapsed="false">
      <c r="A12" s="15"/>
      <c r="B12" s="15" t="s">
        <v>61</v>
      </c>
      <c r="C12" s="15"/>
      <c r="D12" s="18" t="n">
        <f aca="false">D11/'Tabela de Carga'!$C$4</f>
        <v>77.1241161730313</v>
      </c>
      <c r="E12" s="18" t="n">
        <f aca="false">E11/'Tabela de Carga'!$C$4</f>
        <v>77.1241161730313</v>
      </c>
      <c r="F12" s="18" t="n">
        <f aca="false">F11/'Tabela de Carga'!$C$4</f>
        <v>77.1241161730313</v>
      </c>
    </row>
    <row r="13" customFormat="false" ht="15" hidden="false" customHeight="true" outlineLevel="0" collapsed="false">
      <c r="A13" s="15"/>
      <c r="B13" s="15" t="s">
        <v>62</v>
      </c>
      <c r="C13" s="15"/>
      <c r="D13" s="26" t="n">
        <f aca="false">IF(AVERAGE(D12:F12)=0,0,(MAX(D12:F12)-MIN(D12:F12))/AVERAGE(D12:F12))</f>
        <v>0</v>
      </c>
      <c r="E13" s="26"/>
      <c r="F13" s="26"/>
    </row>
    <row r="15" customFormat="false" ht="15" hidden="false" customHeight="false" outlineLevel="0" collapsed="false">
      <c r="A15" s="4" t="s">
        <v>63</v>
      </c>
    </row>
    <row r="16" customFormat="false" ht="15" hidden="false" customHeight="false" outlineLevel="0" collapsed="false">
      <c r="A16" s="4" t="s">
        <v>64</v>
      </c>
    </row>
  </sheetData>
  <mergeCells count="4">
    <mergeCell ref="B11:C11"/>
    <mergeCell ref="B12:C12"/>
    <mergeCell ref="B13:C13"/>
    <mergeCell ref="D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4" min="3" style="0" width="7"/>
    <col collapsed="false" customWidth="true" hidden="false" outlineLevel="0" max="6" min="5" style="0" width="2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23" t="s">
        <v>65</v>
      </c>
    </row>
    <row r="2" customFormat="false" ht="15" hidden="false" customHeight="false" outlineLevel="0" collapsed="false">
      <c r="A2" s="4" t="s">
        <v>66</v>
      </c>
    </row>
    <row r="4" customFormat="false" ht="26.85" hidden="false" customHeight="false" outlineLevel="0" collapsed="false">
      <c r="A4" s="6" t="s">
        <v>67</v>
      </c>
      <c r="B4" s="6" t="s">
        <v>68</v>
      </c>
      <c r="C4" s="6" t="s">
        <v>69</v>
      </c>
      <c r="D4" s="6" t="s">
        <v>70</v>
      </c>
      <c r="E4" s="6" t="s">
        <v>71</v>
      </c>
      <c r="F4" s="6" t="s">
        <v>72</v>
      </c>
      <c r="G4" s="6" t="s">
        <v>73</v>
      </c>
    </row>
    <row r="5" customFormat="false" ht="15" hidden="false" customHeight="false" outlineLevel="0" collapsed="false">
      <c r="A5" s="27" t="n">
        <v>1</v>
      </c>
      <c r="B5" s="28" t="s">
        <v>74</v>
      </c>
      <c r="C5" s="27" t="n">
        <v>1</v>
      </c>
      <c r="D5" s="27" t="s">
        <v>75</v>
      </c>
      <c r="E5" s="27"/>
      <c r="F5" s="27"/>
      <c r="G5" s="27" t="n">
        <f aca="false">C5</f>
        <v>1</v>
      </c>
    </row>
    <row r="6" customFormat="false" ht="15" hidden="false" customHeight="false" outlineLevel="0" collapsed="false">
      <c r="A6" s="27" t="n">
        <v>2</v>
      </c>
      <c r="B6" s="28" t="s">
        <v>76</v>
      </c>
      <c r="C6" s="27" t="n">
        <v>3</v>
      </c>
      <c r="D6" s="27" t="s">
        <v>75</v>
      </c>
      <c r="E6" s="27"/>
      <c r="F6" s="27"/>
      <c r="G6" s="27" t="n">
        <f aca="false">C6</f>
        <v>3</v>
      </c>
    </row>
    <row r="7" customFormat="false" ht="15" hidden="false" customHeight="false" outlineLevel="0" collapsed="false">
      <c r="A7" s="27" t="n">
        <v>3</v>
      </c>
      <c r="B7" s="28" t="s">
        <v>77</v>
      </c>
      <c r="C7" s="27" t="n">
        <v>3</v>
      </c>
      <c r="D7" s="27" t="s">
        <v>75</v>
      </c>
      <c r="E7" s="27"/>
      <c r="F7" s="27"/>
      <c r="G7" s="27" t="n">
        <f aca="false">C7</f>
        <v>3</v>
      </c>
    </row>
    <row r="8" customFormat="false" ht="15" hidden="false" customHeight="false" outlineLevel="0" collapsed="false">
      <c r="A8" s="27" t="n">
        <v>4</v>
      </c>
      <c r="B8" s="28" t="s">
        <v>78</v>
      </c>
      <c r="C8" s="27" t="n">
        <v>1</v>
      </c>
      <c r="D8" s="27" t="s">
        <v>75</v>
      </c>
      <c r="E8" s="27"/>
      <c r="F8" s="27"/>
      <c r="G8" s="27" t="n">
        <f aca="false">C8</f>
        <v>1</v>
      </c>
    </row>
    <row r="9" customFormat="false" ht="15" hidden="false" customHeight="false" outlineLevel="0" collapsed="false">
      <c r="A9" s="27" t="n">
        <v>5</v>
      </c>
      <c r="B9" s="28" t="s">
        <v>79</v>
      </c>
      <c r="C9" s="27" t="n">
        <v>6</v>
      </c>
      <c r="D9" s="27" t="s">
        <v>75</v>
      </c>
      <c r="E9" s="27"/>
      <c r="F9" s="27"/>
      <c r="G9" s="27" t="n">
        <f aca="false">C9</f>
        <v>6</v>
      </c>
    </row>
    <row r="10" customFormat="false" ht="15" hidden="false" customHeight="false" outlineLevel="0" collapsed="false">
      <c r="A10" s="27" t="n">
        <v>6</v>
      </c>
      <c r="B10" s="28" t="s">
        <v>80</v>
      </c>
      <c r="C10" s="27" t="n">
        <v>1</v>
      </c>
      <c r="D10" s="27" t="s">
        <v>75</v>
      </c>
      <c r="E10" s="27"/>
      <c r="F10" s="27"/>
      <c r="G10" s="27" t="n">
        <f aca="false">C10</f>
        <v>1</v>
      </c>
    </row>
    <row r="11" customFormat="false" ht="15" hidden="false" customHeight="false" outlineLevel="0" collapsed="false">
      <c r="A11" s="27" t="n">
        <v>7</v>
      </c>
      <c r="B11" s="28" t="s">
        <v>81</v>
      </c>
      <c r="C11" s="27" t="n">
        <v>4</v>
      </c>
      <c r="D11" s="27" t="s">
        <v>75</v>
      </c>
      <c r="E11" s="27"/>
      <c r="F11" s="27"/>
      <c r="G11" s="27" t="n">
        <f aca="false">C11</f>
        <v>4</v>
      </c>
    </row>
    <row r="12" customFormat="false" ht="15" hidden="false" customHeight="false" outlineLevel="0" collapsed="false">
      <c r="A12" s="27" t="n">
        <v>8</v>
      </c>
      <c r="B12" s="28" t="s">
        <v>82</v>
      </c>
      <c r="C12" s="27" t="n">
        <v>1</v>
      </c>
      <c r="D12" s="27" t="s">
        <v>83</v>
      </c>
      <c r="E12" s="27"/>
      <c r="F12" s="27"/>
      <c r="G12" s="27" t="n">
        <f aca="false">C12</f>
        <v>1</v>
      </c>
    </row>
    <row r="13" customFormat="false" ht="15" hidden="false" customHeight="false" outlineLevel="0" collapsed="false">
      <c r="A13" s="27" t="n">
        <v>9</v>
      </c>
      <c r="B13" s="28" t="s">
        <v>84</v>
      </c>
      <c r="C13" s="27" t="n">
        <v>1</v>
      </c>
      <c r="D13" s="27" t="s">
        <v>85</v>
      </c>
      <c r="E13" s="29" t="n">
        <v>10</v>
      </c>
      <c r="F13" s="27" t="n">
        <v>3</v>
      </c>
      <c r="G13" s="27" t="n">
        <f aca="false">C13*E13*F13</f>
        <v>30</v>
      </c>
    </row>
    <row r="14" customFormat="false" ht="15" hidden="false" customHeight="false" outlineLevel="0" collapsed="false">
      <c r="A14" s="27" t="n">
        <v>10</v>
      </c>
      <c r="B14" s="28" t="s">
        <v>86</v>
      </c>
      <c r="C14" s="27" t="n">
        <v>1</v>
      </c>
      <c r="D14" s="27" t="s">
        <v>85</v>
      </c>
      <c r="E14" s="29" t="n">
        <v>10</v>
      </c>
      <c r="F14" s="27" t="n">
        <v>1</v>
      </c>
      <c r="G14" s="27" t="n">
        <f aca="false">C14*E14*F14</f>
        <v>10</v>
      </c>
    </row>
    <row r="15" customFormat="false" ht="15" hidden="false" customHeight="false" outlineLevel="0" collapsed="false">
      <c r="A15" s="27" t="n">
        <v>11</v>
      </c>
      <c r="B15" s="28" t="s">
        <v>87</v>
      </c>
      <c r="C15" s="27" t="n">
        <v>1</v>
      </c>
      <c r="D15" s="27" t="s">
        <v>85</v>
      </c>
      <c r="E15" s="29" t="n">
        <v>10</v>
      </c>
      <c r="F15" s="27" t="n">
        <v>1</v>
      </c>
      <c r="G15" s="27" t="n">
        <f aca="false">C15*E15*F15</f>
        <v>10</v>
      </c>
    </row>
    <row r="16" customFormat="false" ht="15" hidden="false" customHeight="false" outlineLevel="0" collapsed="false">
      <c r="A16" s="27" t="n">
        <v>12</v>
      </c>
      <c r="B16" s="28" t="s">
        <v>88</v>
      </c>
      <c r="C16" s="27" t="n">
        <v>1</v>
      </c>
      <c r="D16" s="27" t="s">
        <v>85</v>
      </c>
      <c r="E16" s="29" t="n">
        <v>15</v>
      </c>
      <c r="F16" s="27" t="n">
        <v>4</v>
      </c>
      <c r="G16" s="27" t="n">
        <f aca="false">C16*E16*F16</f>
        <v>60</v>
      </c>
    </row>
    <row r="17" customFormat="false" ht="15" hidden="false" customHeight="false" outlineLevel="0" collapsed="false">
      <c r="A17" s="27" t="n">
        <v>13</v>
      </c>
      <c r="B17" s="28" t="s">
        <v>89</v>
      </c>
      <c r="C17" s="27" t="n">
        <v>3</v>
      </c>
      <c r="D17" s="27" t="s">
        <v>85</v>
      </c>
      <c r="E17" s="29" t="n">
        <v>15</v>
      </c>
      <c r="F17" s="27" t="n">
        <v>3</v>
      </c>
      <c r="G17" s="27" t="n">
        <f aca="false">C17*E17*F17</f>
        <v>135</v>
      </c>
    </row>
    <row r="18" customFormat="false" ht="15" hidden="false" customHeight="false" outlineLevel="0" collapsed="false">
      <c r="A18" s="27" t="n">
        <v>14</v>
      </c>
      <c r="B18" s="28" t="s">
        <v>90</v>
      </c>
      <c r="C18" s="27" t="n">
        <v>3</v>
      </c>
      <c r="D18" s="27" t="s">
        <v>85</v>
      </c>
      <c r="E18" s="29" t="n">
        <v>15</v>
      </c>
      <c r="F18" s="27" t="n">
        <v>3</v>
      </c>
      <c r="G18" s="27" t="n">
        <f aca="false">C18*E18*F18</f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2026-10-10T17:22:43Z</dcterms:created>
  <dc:creator>openpyxl</dc:creator>
  <dc:description/>
  <dc:language>en-US</dc:language>
  <cp:lastModifiedBy/>
  <dcterms:modified xsi:type="dcterms:W3CDTF">2026-10-10T17:22:43Z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